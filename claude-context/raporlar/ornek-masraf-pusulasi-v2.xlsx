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raf Pusulası" state="visible" r:id="rId4"/>
    <sheet sheetId="2" name="Fişler" state="visible" r:id="rId5"/>
  </sheets>
  <calcPr calcId="171027"/>
</workbook>
</file>

<file path=xl/sharedStrings.xml><?xml version="1.0" encoding="utf-8"?>
<sst xmlns="http://schemas.openxmlformats.org/spreadsheetml/2006/main" count="132" uniqueCount="81">
  <si>
    <t>PUSULA İSTANBUL</t>
  </si>
  <si>
    <t>12 – 30 Eylül 2026 (19 gün)</t>
  </si>
  <si>
    <t>Masraf Pusulası</t>
  </si>
  <si>
    <t>Ayşe Tokkuş Bayar</t>
  </si>
  <si>
    <t>TUR BİLGİLERİ</t>
  </si>
  <si>
    <t>REHBER</t>
  </si>
  <si>
    <t>Tur</t>
  </si>
  <si>
    <t>Klasik İstanbul — Alman grup</t>
  </si>
  <si>
    <t>Ad Soyad</t>
  </si>
  <si>
    <t>Tarih</t>
  </si>
  <si>
    <t>Telefon</t>
  </si>
  <si>
    <t>+90 532 000 00 00</t>
  </si>
  <si>
    <t>Acente</t>
  </si>
  <si>
    <t>Örnek Turizm A.Ş.</t>
  </si>
  <si>
    <t>E-posta</t>
  </si>
  <si>
    <t>ayse@example.com</t>
  </si>
  <si>
    <t>Grup</t>
  </si>
  <si>
    <t>24 kişi · Almanca</t>
  </si>
  <si>
    <t>Ruhsat No</t>
  </si>
  <si>
    <t>12345</t>
  </si>
  <si>
    <t>Saat</t>
  </si>
  <si>
    <t>08:30 · Sultanahmet Meydanı</t>
  </si>
  <si>
    <t/>
  </si>
  <si>
    <t>—</t>
  </si>
  <si>
    <t>MASRAFLAR</t>
  </si>
  <si>
    <t>#</t>
  </si>
  <si>
    <t>Gün</t>
  </si>
  <si>
    <t>Kategori</t>
  </si>
  <si>
    <t>Açıklama</t>
  </si>
  <si>
    <t>Fiş</t>
  </si>
  <si>
    <t>Tutar</t>
  </si>
  <si>
    <t>PB</t>
  </si>
  <si>
    <t>12 Eyl</t>
  </si>
  <si>
    <t>Müze / Giriş</t>
  </si>
  <si>
    <t>Topkapı Sarayı + Harem, 24 kişi</t>
  </si>
  <si>
    <t>Var</t>
  </si>
  <si>
    <t>TRY</t>
  </si>
  <si>
    <t>Otoyol / Köprü</t>
  </si>
  <si>
    <t>FSM Köprüsü geçiş (gidiş-dönüş)</t>
  </si>
  <si>
    <t>13 Eyl</t>
  </si>
  <si>
    <t>Otopark</t>
  </si>
  <si>
    <t>Sultanahmet otopark, 3 saat</t>
  </si>
  <si>
    <t>Kaptan Yemek</t>
  </si>
  <si>
    <t>Kaptan öğle yemeği</t>
  </si>
  <si>
    <t>Rehber Yemek</t>
  </si>
  <si>
    <t>Rehber öğle yemeği — grup restoranı dışında, uzun bir açıklama satırı sarma testi için buraya yazıldı</t>
  </si>
  <si>
    <t>EUR</t>
  </si>
  <si>
    <t>14 Eyl</t>
  </si>
  <si>
    <t>Bahşiş</t>
  </si>
  <si>
    <t>Şoför bahşişi</t>
  </si>
  <si>
    <t>Ulaşım</t>
  </si>
  <si>
    <t>Boğaz turu tekne bileti (TURYOL)</t>
  </si>
  <si>
    <t>Masraf toplamı (TRY)</t>
  </si>
  <si>
    <t>Masraf toplamı (EUR)</t>
  </si>
  <si>
    <t>REHBERLİK ÜCRETİ</t>
  </si>
  <si>
    <t>Rehberlik Ücreti</t>
  </si>
  <si>
    <t>19 gün × 120 €</t>
  </si>
  <si>
    <t>30 Eyl</t>
  </si>
  <si>
    <t>Gece farkı (3 gece)</t>
  </si>
  <si>
    <t>Ücret toplamı (TRY)</t>
  </si>
  <si>
    <t>Ücret toplamı (EUR)</t>
  </si>
  <si>
    <t>AVANSLAR</t>
  </si>
  <si>
    <t>Avans</t>
  </si>
  <si>
    <t>Acente ofisinden nakit</t>
  </si>
  <si>
    <t>20 Eyl</t>
  </si>
  <si>
    <t>Tur lideri</t>
  </si>
  <si>
    <t>Avans toplamı (TRY)</t>
  </si>
  <si>
    <t>Avans toplamı (EUR)</t>
  </si>
  <si>
    <t>ÖZET</t>
  </si>
  <si>
    <t>TÜRK LİRASI (TRY)</t>
  </si>
  <si>
    <t>Toplam masraf</t>
  </si>
  <si>
    <t>Rehberlik ücreti</t>
  </si>
  <si>
    <t>Alınan avans</t>
  </si>
  <si>
    <t>EURO (EUR)</t>
  </si>
  <si>
    <t>NOTLAR</t>
  </si>
  <si>
    <t>Müze girişinde grup 2'ye bölündü; Harem ek bileti acente onayıyla alındı. Şoför: Mehmet Bey (34 ABC 123).</t>
  </si>
  <si>
    <t>Pusula İstanbul ile oluşturuldu · pusulaistanbul.app · 03.09.2026 21:14</t>
  </si>
  <si>
    <t>FİŞLER VE FATURALAR (3 adet) — Klasik İstanbul — Alman grup · 12 – 30 Eylül 2026 (19 gün)</t>
  </si>
  <si>
    <t>#1 · Müze / Giriş · 12.000,00 ₺ — Topkapı Sarayı + Harem, 24 kişi</t>
  </si>
  <si>
    <t>#3 · Otopark · 450,00 ₺ — Sultanahmet otopark, 3 saat</t>
  </si>
  <si>
    <t>#5 · Rehber Yemek · 25,00 € — Rehber öğle yemeği — grup restoranı dışında, uzun bir açıklama satırı sarma testi için buraya yazıldı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</si>
</sst>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 &quot;₺&quot;"/>
    <numFmt numFmtId="165" formatCode="#,##0.00 &quot;€&quot;"/>
  </numFmts>
  <fonts count="18" x14ac:knownFonts="1">
    <font>
      <color theme="1"/>
      <family val="2"/>
      <scheme val="minor"/>
      <sz val="11"/>
      <name val="Calibri"/>
    </font>
    <font>
      <b/>
      <color rgb="FFFFFFFF"/>
      <sz val="8"/>
      <name val="Poppins"/>
    </font>
    <font>
      <b/>
      <color rgb="FFFFFFFF"/>
      <sz val="9"/>
      <name val="Poppins"/>
    </font>
    <font>
      <b/>
      <color rgb="FFFFFFFF"/>
      <sz val="16"/>
      <name val="Poppins"/>
    </font>
    <font>
      <color rgb="FFFFFFFF"/>
      <sz val="9"/>
      <name val="Poppins"/>
    </font>
    <font>
      <b/>
      <color rgb="FF1E40AF"/>
      <sz val="8"/>
      <name val="Poppins"/>
    </font>
    <font>
      <color rgb="FF6B7290"/>
      <sz val="9"/>
      <name val="Poppins"/>
    </font>
    <font>
      <b/>
      <color rgb="FF121A3E"/>
      <sz val="9"/>
      <name val="Poppins"/>
    </font>
    <font>
      <color rgb="FF121A3E"/>
      <sz val="9"/>
      <name val="Poppins"/>
    </font>
    <font>
      <color rgb="FF16A34A"/>
      <sz val="9"/>
      <name val="Poppins"/>
    </font>
    <font>
      <color rgb="FF9AA1BD"/>
      <sz val="9"/>
      <name val="Poppins"/>
    </font>
    <font>
      <b/>
      <color rgb="FF1E40AF"/>
      <sz val="10"/>
      <name val="Poppins"/>
    </font>
    <font>
      <b/>
      <color rgb="FF7C3AED"/>
      <sz val="8"/>
      <name val="Poppins"/>
    </font>
    <font>
      <color rgb="FF121A3E"/>
      <sz val="10"/>
      <name val="Poppins"/>
    </font>
    <font>
      <b/>
      <color rgb="FF6B7290"/>
      <sz val="9"/>
      <name val="Poppins"/>
    </font>
    <font>
      <b/>
      <color rgb="FF1E40AF"/>
      <sz val="12"/>
      <name val="Poppins"/>
    </font>
    <font>
      <color rgb="FF9AA1BD"/>
      <sz val="7"/>
      <name val="Poppins"/>
    </font>
    <font>
      <b/>
      <color rgb="FF1E40AF"/>
      <sz val="9"/>
      <name val="Poppins"/>
    </font>
  </fonts>
  <fills count="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6F7FD"/>
      </patternFill>
    </fill>
  </fills>
  <borders count="3">
    <border>
      <left/>
      <right/>
      <top/>
      <bottom/>
      <diagonal/>
    </border>
    <border>
      <left style="thin">
        <color rgb="FFE6E8F5"/>
      </left>
      <right style="thin">
        <color rgb="FFE6E8F5"/>
      </right>
      <top style="thin">
        <color rgb="FFE6E8F5"/>
      </top>
      <bottom style="thin">
        <color rgb="FFE6E8F5"/>
      </bottom>
      <diagonal/>
    </border>
    <border>
      <left style="thick">
        <color rgb="FFF59E0B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bottom"/>
    </xf>
    <xf numFmtId="0" fontId="2" fillId="2" borderId="0" xfId="0" applyFont="1" applyFill="1" applyAlignment="1">
      <alignment horizontal="right" vertical="bottom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5" fillId="3" borderId="0" xfId="0" applyFont="1" applyFill="1"/>
    <xf numFmtId="0" fontId="0" fillId="3" borderId="0" xfId="0" applyFill="1"/>
    <xf numFmtId="0" fontId="6" fillId="3" borderId="0" xfId="0" applyFont="1" applyFill="1"/>
    <xf numFmtId="0" fontId="7" fillId="3" borderId="0" xfId="0" applyFont="1" applyFill="1" applyAlignment="1">
      <alignment vertical="top" wrapText="1"/>
    </xf>
    <xf numFmtId="0" fontId="5" fillId="0" borderId="0" xfId="0" applyFont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/>
    </xf>
    <xf numFmtId="164" fontId="7" fillId="3" borderId="1" xfId="0" applyNumberFormat="1" applyFont="1" applyFill="1" applyBorder="1" applyAlignment="1">
      <alignment horizontal="right" vertical="top"/>
    </xf>
    <xf numFmtId="0" fontId="10" fillId="3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164" fontId="7" fillId="0" borderId="1" xfId="0" applyNumberFormat="1" applyFont="1" applyBorder="1" applyAlignment="1">
      <alignment horizontal="right" vertical="top"/>
    </xf>
    <xf numFmtId="165" fontId="7" fillId="3" borderId="1" xfId="0" applyNumberFormat="1" applyFont="1" applyFill="1" applyBorder="1" applyAlignment="1">
      <alignment horizontal="right" vertical="top"/>
    </xf>
    <xf numFmtId="165" fontId="7" fillId="0" borderId="1" xfId="0" applyNumberFormat="1" applyFont="1" applyBorder="1" applyAlignment="1">
      <alignment horizontal="right" vertical="top"/>
    </xf>
    <xf numFmtId="0" fontId="6" fillId="0" borderId="0" xfId="0" applyFont="1" applyAlignment="1">
      <alignment horizontal="right"/>
    </xf>
    <xf numFmtId="164" fontId="11" fillId="0" borderId="0" xfId="0" applyNumberFormat="1" applyFont="1" applyAlignment="1">
      <alignment horizontal="right"/>
    </xf>
    <xf numFmtId="165" fontId="11" fillId="0" borderId="0" xfId="0" applyNumberFormat="1" applyFont="1" applyAlignment="1">
      <alignment horizontal="right"/>
    </xf>
    <xf numFmtId="0" fontId="12" fillId="3" borderId="2" xfId="0" applyFont="1" applyFill="1" applyBorder="1"/>
    <xf numFmtId="0" fontId="6" fillId="3" borderId="2" xfId="0" applyFont="1" applyFill="1" applyBorder="1"/>
    <xf numFmtId="164" fontId="13" fillId="3" borderId="0" xfId="0" applyNumberFormat="1" applyFont="1" applyFill="1" applyAlignment="1">
      <alignment horizontal="right"/>
    </xf>
    <xf numFmtId="0" fontId="14" fillId="3" borderId="2" xfId="0" applyFont="1" applyFill="1" applyBorder="1"/>
    <xf numFmtId="164" fontId="15" fillId="3" borderId="0" xfId="0" applyNumberFormat="1" applyFont="1" applyFill="1" applyAlignment="1">
      <alignment horizontal="right"/>
    </xf>
    <xf numFmtId="0" fontId="0" fillId="3" borderId="2" xfId="0" applyFill="1" applyBorder="1"/>
    <xf numFmtId="165" fontId="13" fillId="3" borderId="0" xfId="0" applyNumberFormat="1" applyFont="1" applyFill="1" applyAlignment="1">
      <alignment horizontal="right"/>
    </xf>
    <xf numFmtId="165" fontId="15" fillId="3" borderId="0" xfId="0" applyNumberFormat="1" applyFont="1" applyFill="1" applyAlignment="1">
      <alignment horizontal="right"/>
    </xf>
    <xf numFmtId="0" fontId="8" fillId="0" borderId="0" xfId="0" applyFont="1" applyAlignment="1">
      <alignment vertical="top" wrapText="1"/>
    </xf>
    <xf numFmtId="0" fontId="16" fillId="0" borderId="0" xfId="0" applyFont="1"/>
    <xf numFmtId="0" fontId="2" fillId="2" borderId="0" xfId="0" applyFont="1" applyFill="1" applyAlignment="1">
      <alignment vertical="center"/>
    </xf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Relationship Id="rId2" Type="http://schemas.openxmlformats.org/officeDocument/2006/relationships/image" Target="../media/image3.jpeg"/><Relationship Id="rId3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absolute">
    <xdr:from>
      <xdr:col>0</xdr:col>
      <xdr:colOff>76800</xdr:colOff>
      <xdr:row>0</xdr:row>
      <xdr:rowOff>56000</xdr:rowOff>
    </xdr:from>
    <xdr:ext cx="2857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3048000" cy="457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3619500" cy="24098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3200400" cy="4572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6"/>
  <sheetViews>
    <sheetView workbookViewId="0" showGridLines="0"/>
  </sheetViews>
  <sheetFormatPr defaultRowHeight="15" outlineLevelRow="0" outlineLevelCol="0" x14ac:dyDescent="55"/>
  <cols>
    <col min="3" max="3" width="18" customWidth="1"/>
    <col min="4" max="4" width="44" customWidth="1"/>
    <col min="5" max="5" width="7" customWidth="1"/>
    <col min="6" max="6" width="16" customWidth="1"/>
    <col min="7" max="7" width="8" customWidth="1"/>
  </cols>
  <sheetData>
    <row r="1" ht="16" customHeight="1" spans="1:7" x14ac:dyDescent="0.25">
      <c r="A1" s="1"/>
      <c r="B1" s="1"/>
      <c r="C1" s="2" t="s">
        <v>0</v>
      </c>
      <c r="D1" s="1"/>
      <c r="E1" s="1"/>
      <c r="F1" s="3" t="s">
        <v>1</v>
      </c>
      <c r="G1" s="3"/>
    </row>
    <row r="2" ht="26" customHeight="1" spans="1:7" x14ac:dyDescent="0.25">
      <c r="A2" s="1"/>
      <c r="B2" s="1"/>
      <c r="C2" s="4" t="s">
        <v>2</v>
      </c>
      <c r="D2" s="1"/>
      <c r="E2" s="1"/>
      <c r="F2" s="5" t="s">
        <v>3</v>
      </c>
      <c r="G2" s="5"/>
    </row>
    <row r="3" ht="8" customHeight="1" spans="1:7" x14ac:dyDescent="0.25">
      <c r="A3" s="1"/>
      <c r="B3" s="1"/>
      <c r="C3" s="1"/>
      <c r="D3" s="1"/>
      <c r="E3" s="1"/>
      <c r="F3" s="1"/>
      <c r="G3" s="1"/>
    </row>
    <row r="5" spans="1:7" x14ac:dyDescent="0.25">
      <c r="A5" s="6" t="s">
        <v>4</v>
      </c>
      <c r="B5" s="7"/>
      <c r="C5" s="7"/>
      <c r="D5" s="7"/>
      <c r="E5" s="6" t="s">
        <v>5</v>
      </c>
      <c r="F5" s="7"/>
      <c r="G5" s="7"/>
    </row>
    <row r="6" spans="1:7" x14ac:dyDescent="0.25">
      <c r="A6" s="8" t="s">
        <v>6</v>
      </c>
      <c r="B6" s="7"/>
      <c r="C6" s="9" t="s">
        <v>7</v>
      </c>
      <c r="D6" s="9"/>
      <c r="E6" s="8" t="s">
        <v>8</v>
      </c>
      <c r="F6" s="9" t="s">
        <v>3</v>
      </c>
      <c r="G6" s="9"/>
    </row>
    <row r="7" spans="1:7" x14ac:dyDescent="0.25">
      <c r="A7" s="8" t="s">
        <v>9</v>
      </c>
      <c r="B7" s="7"/>
      <c r="C7" s="9" t="s">
        <v>1</v>
      </c>
      <c r="D7" s="9"/>
      <c r="E7" s="8" t="s">
        <v>10</v>
      </c>
      <c r="F7" s="9" t="s">
        <v>11</v>
      </c>
      <c r="G7" s="9"/>
    </row>
    <row r="8" spans="1:7" x14ac:dyDescent="0.25">
      <c r="A8" s="8" t="s">
        <v>12</v>
      </c>
      <c r="B8" s="7"/>
      <c r="C8" s="9" t="s">
        <v>13</v>
      </c>
      <c r="D8" s="9"/>
      <c r="E8" s="8" t="s">
        <v>14</v>
      </c>
      <c r="F8" s="9" t="s">
        <v>15</v>
      </c>
      <c r="G8" s="9"/>
    </row>
    <row r="9" spans="1:7" x14ac:dyDescent="0.25">
      <c r="A9" s="8" t="s">
        <v>16</v>
      </c>
      <c r="B9" s="7"/>
      <c r="C9" s="9" t="s">
        <v>17</v>
      </c>
      <c r="D9" s="9"/>
      <c r="E9" s="8" t="s">
        <v>18</v>
      </c>
      <c r="F9" s="9" t="s">
        <v>19</v>
      </c>
      <c r="G9" s="9"/>
    </row>
    <row r="10" spans="1:7" x14ac:dyDescent="0.25">
      <c r="A10" s="8" t="s">
        <v>20</v>
      </c>
      <c r="B10" s="7"/>
      <c r="C10" s="9" t="s">
        <v>21</v>
      </c>
      <c r="D10" s="9"/>
      <c r="E10" s="8" t="s">
        <v>22</v>
      </c>
      <c r="F10" s="9" t="s">
        <v>23</v>
      </c>
      <c r="G10" s="9"/>
    </row>
    <row r="11" spans="1:7" x14ac:dyDescent="0.25">
      <c r="A11" s="7"/>
      <c r="B11" s="7"/>
      <c r="C11" s="7"/>
      <c r="D11" s="7"/>
      <c r="E11" s="7"/>
      <c r="F11" s="7"/>
      <c r="G11" s="7"/>
    </row>
    <row r="12" ht="18" customHeight="1" spans="1:1" x14ac:dyDescent="0.25">
      <c r="A12" s="10" t="s">
        <v>24</v>
      </c>
    </row>
    <row r="13" ht="18" customHeight="1" spans="1:7" x14ac:dyDescent="0.25">
      <c r="A13" s="11" t="s">
        <v>25</v>
      </c>
      <c r="B13" s="11" t="s">
        <v>26</v>
      </c>
      <c r="C13" s="11" t="s">
        <v>27</v>
      </c>
      <c r="D13" s="11" t="s">
        <v>28</v>
      </c>
      <c r="E13" s="11" t="s">
        <v>29</v>
      </c>
      <c r="F13" s="12" t="s">
        <v>30</v>
      </c>
      <c r="G13" s="11" t="s">
        <v>31</v>
      </c>
    </row>
    <row r="14" spans="1:7" x14ac:dyDescent="0.25">
      <c r="A14" s="13">
        <v>1</v>
      </c>
      <c r="B14" s="13" t="s">
        <v>32</v>
      </c>
      <c r="C14" s="14" t="s">
        <v>33</v>
      </c>
      <c r="D14" s="15" t="s">
        <v>34</v>
      </c>
      <c r="E14" s="16" t="s">
        <v>35</v>
      </c>
      <c r="F14" s="17">
        <v>12000</v>
      </c>
      <c r="G14" s="18" t="s">
        <v>36</v>
      </c>
    </row>
    <row r="15" spans="1:7" x14ac:dyDescent="0.25">
      <c r="A15" s="19">
        <v>2</v>
      </c>
      <c r="B15" s="19" t="s">
        <v>32</v>
      </c>
      <c r="C15" s="20" t="s">
        <v>37</v>
      </c>
      <c r="D15" s="21" t="s">
        <v>38</v>
      </c>
      <c r="E15" s="22" t="s">
        <v>23</v>
      </c>
      <c r="F15" s="23">
        <v>380.5</v>
      </c>
      <c r="G15" s="22" t="s">
        <v>36</v>
      </c>
    </row>
    <row r="16" spans="1:7" x14ac:dyDescent="0.25">
      <c r="A16" s="13">
        <v>3</v>
      </c>
      <c r="B16" s="13" t="s">
        <v>39</v>
      </c>
      <c r="C16" s="14" t="s">
        <v>40</v>
      </c>
      <c r="D16" s="15" t="s">
        <v>41</v>
      </c>
      <c r="E16" s="16" t="s">
        <v>35</v>
      </c>
      <c r="F16" s="17">
        <v>450</v>
      </c>
      <c r="G16" s="18" t="s">
        <v>36</v>
      </c>
    </row>
    <row r="17" spans="1:7" x14ac:dyDescent="0.25">
      <c r="A17" s="19">
        <v>4</v>
      </c>
      <c r="B17" s="19" t="s">
        <v>39</v>
      </c>
      <c r="C17" s="20" t="s">
        <v>42</v>
      </c>
      <c r="D17" s="21" t="s">
        <v>43</v>
      </c>
      <c r="E17" s="22" t="s">
        <v>23</v>
      </c>
      <c r="F17" s="23">
        <v>650</v>
      </c>
      <c r="G17" s="22" t="s">
        <v>36</v>
      </c>
    </row>
    <row r="18" spans="1:7" x14ac:dyDescent="0.25">
      <c r="A18" s="13">
        <v>5</v>
      </c>
      <c r="B18" s="13" t="s">
        <v>39</v>
      </c>
      <c r="C18" s="14" t="s">
        <v>44</v>
      </c>
      <c r="D18" s="15" t="s">
        <v>45</v>
      </c>
      <c r="E18" s="16" t="s">
        <v>35</v>
      </c>
      <c r="F18" s="24">
        <v>25</v>
      </c>
      <c r="G18" s="18" t="s">
        <v>46</v>
      </c>
    </row>
    <row r="19" spans="1:7" x14ac:dyDescent="0.25">
      <c r="A19" s="19">
        <v>6</v>
      </c>
      <c r="B19" s="19" t="s">
        <v>47</v>
      </c>
      <c r="C19" s="20" t="s">
        <v>48</v>
      </c>
      <c r="D19" s="21" t="s">
        <v>49</v>
      </c>
      <c r="E19" s="22" t="s">
        <v>23</v>
      </c>
      <c r="F19" s="25">
        <v>20</v>
      </c>
      <c r="G19" s="22" t="s">
        <v>46</v>
      </c>
    </row>
    <row r="20" spans="1:7" x14ac:dyDescent="0.25">
      <c r="A20" s="13">
        <v>7</v>
      </c>
      <c r="B20" s="13" t="s">
        <v>47</v>
      </c>
      <c r="C20" s="14" t="s">
        <v>50</v>
      </c>
      <c r="D20" s="15" t="s">
        <v>51</v>
      </c>
      <c r="E20" s="18" t="s">
        <v>23</v>
      </c>
      <c r="F20" s="17">
        <v>4800</v>
      </c>
      <c r="G20" s="18" t="s">
        <v>36</v>
      </c>
    </row>
    <row r="21" spans="1:7" x14ac:dyDescent="0.25">
      <c r="A21" s="19">
        <v>8</v>
      </c>
      <c r="B21" s="19" t="s">
        <v>47</v>
      </c>
      <c r="C21" s="20" t="s">
        <v>10</v>
      </c>
      <c r="D21" s="21" t="s">
        <v>23</v>
      </c>
      <c r="E21" s="22" t="s">
        <v>23</v>
      </c>
      <c r="F21" s="23">
        <v>120</v>
      </c>
      <c r="G21" s="22" t="s">
        <v>36</v>
      </c>
    </row>
    <row r="22" spans="3:6" x14ac:dyDescent="0.25">
      <c r="C22" s="26" t="s">
        <v>52</v>
      </c>
      <c r="D22" s="26"/>
      <c r="E22" s="26"/>
      <c r="F22" s="27">
        <f>SUMIF(G14:G21,"TRY",F14:F21)</f>
      </c>
    </row>
    <row r="23" spans="3:6" x14ac:dyDescent="0.25">
      <c r="C23" s="26" t="s">
        <v>53</v>
      </c>
      <c r="D23" s="26"/>
      <c r="E23" s="26"/>
      <c r="F23" s="28">
        <f>SUMIF(G14:G21,"EUR",F14:F21)</f>
      </c>
    </row>
    <row r="25" ht="18" customHeight="1" spans="1:1" x14ac:dyDescent="0.25">
      <c r="A25" s="10" t="s">
        <v>54</v>
      </c>
    </row>
    <row r="26" ht="18" customHeight="1" spans="1:7" x14ac:dyDescent="0.25">
      <c r="A26" s="11" t="s">
        <v>25</v>
      </c>
      <c r="B26" s="11" t="s">
        <v>26</v>
      </c>
      <c r="C26" s="11" t="s">
        <v>27</v>
      </c>
      <c r="D26" s="11" t="s">
        <v>28</v>
      </c>
      <c r="E26" s="11" t="s">
        <v>29</v>
      </c>
      <c r="F26" s="12" t="s">
        <v>30</v>
      </c>
      <c r="G26" s="11" t="s">
        <v>31</v>
      </c>
    </row>
    <row r="27" spans="1:7" x14ac:dyDescent="0.25">
      <c r="A27" s="13">
        <v>1</v>
      </c>
      <c r="B27" s="13" t="s">
        <v>32</v>
      </c>
      <c r="C27" s="14" t="s">
        <v>55</v>
      </c>
      <c r="D27" s="15" t="s">
        <v>56</v>
      </c>
      <c r="E27" s="18" t="s">
        <v>22</v>
      </c>
      <c r="F27" s="24">
        <v>2280</v>
      </c>
      <c r="G27" s="18" t="s">
        <v>46</v>
      </c>
    </row>
    <row r="28" spans="1:7" x14ac:dyDescent="0.25">
      <c r="A28" s="19">
        <v>2</v>
      </c>
      <c r="B28" s="19" t="s">
        <v>57</v>
      </c>
      <c r="C28" s="20" t="s">
        <v>55</v>
      </c>
      <c r="D28" s="21" t="s">
        <v>58</v>
      </c>
      <c r="E28" s="22" t="s">
        <v>22</v>
      </c>
      <c r="F28" s="23">
        <v>1500</v>
      </c>
      <c r="G28" s="22" t="s">
        <v>36</v>
      </c>
    </row>
    <row r="29" spans="3:6" x14ac:dyDescent="0.25">
      <c r="C29" s="26" t="s">
        <v>59</v>
      </c>
      <c r="D29" s="26"/>
      <c r="E29" s="26"/>
      <c r="F29" s="27">
        <f>SUMIF(G27:G28,"TRY",F27:F28)</f>
      </c>
    </row>
    <row r="30" spans="3:6" x14ac:dyDescent="0.25">
      <c r="C30" s="26" t="s">
        <v>60</v>
      </c>
      <c r="D30" s="26"/>
      <c r="E30" s="26"/>
      <c r="F30" s="28">
        <f>SUMIF(G27:G28,"EUR",F27:F28)</f>
      </c>
    </row>
    <row r="32" ht="18" customHeight="1" spans="1:1" x14ac:dyDescent="0.25">
      <c r="A32" s="10" t="s">
        <v>61</v>
      </c>
    </row>
    <row r="33" ht="18" customHeight="1" spans="1:7" x14ac:dyDescent="0.25">
      <c r="A33" s="11" t="s">
        <v>25</v>
      </c>
      <c r="B33" s="11" t="s">
        <v>26</v>
      </c>
      <c r="C33" s="11" t="s">
        <v>27</v>
      </c>
      <c r="D33" s="11" t="s">
        <v>28</v>
      </c>
      <c r="E33" s="11" t="s">
        <v>29</v>
      </c>
      <c r="F33" s="12" t="s">
        <v>30</v>
      </c>
      <c r="G33" s="11" t="s">
        <v>31</v>
      </c>
    </row>
    <row r="34" spans="1:7" x14ac:dyDescent="0.25">
      <c r="A34" s="13">
        <v>1</v>
      </c>
      <c r="B34" s="13" t="s">
        <v>32</v>
      </c>
      <c r="C34" s="14" t="s">
        <v>62</v>
      </c>
      <c r="D34" s="15" t="s">
        <v>63</v>
      </c>
      <c r="E34" s="18" t="s">
        <v>22</v>
      </c>
      <c r="F34" s="17">
        <v>15000</v>
      </c>
      <c r="G34" s="18" t="s">
        <v>36</v>
      </c>
    </row>
    <row r="35" spans="1:7" x14ac:dyDescent="0.25">
      <c r="A35" s="19">
        <v>2</v>
      </c>
      <c r="B35" s="19" t="s">
        <v>64</v>
      </c>
      <c r="C35" s="20" t="s">
        <v>62</v>
      </c>
      <c r="D35" s="21" t="s">
        <v>65</v>
      </c>
      <c r="E35" s="22" t="s">
        <v>22</v>
      </c>
      <c r="F35" s="25">
        <v>100</v>
      </c>
      <c r="G35" s="22" t="s">
        <v>46</v>
      </c>
    </row>
    <row r="36" spans="3:6" x14ac:dyDescent="0.25">
      <c r="C36" s="26" t="s">
        <v>66</v>
      </c>
      <c r="D36" s="26"/>
      <c r="E36" s="26"/>
      <c r="F36" s="27">
        <f>SUMIF(G34:G35,"TRY",F34:F35)</f>
      </c>
    </row>
    <row r="37" spans="3:6" x14ac:dyDescent="0.25">
      <c r="C37" s="26" t="s">
        <v>67</v>
      </c>
      <c r="D37" s="26"/>
      <c r="E37" s="26"/>
      <c r="F37" s="28">
        <f>SUMIF(G34:G35,"EUR",F34:F35)</f>
      </c>
    </row>
    <row r="39" ht="18" customHeight="1" spans="1:1" x14ac:dyDescent="0.25">
      <c r="A39" s="10" t="s">
        <v>68</v>
      </c>
    </row>
    <row r="40" spans="3:7" x14ac:dyDescent="0.25">
      <c r="C40" s="29" t="s">
        <v>69</v>
      </c>
      <c r="D40" s="7"/>
      <c r="E40" s="7"/>
      <c r="F40" s="7"/>
      <c r="G40" s="7"/>
    </row>
    <row r="41" spans="3:7" x14ac:dyDescent="0.25">
      <c r="C41" s="30" t="s">
        <v>70</v>
      </c>
      <c r="D41" s="30"/>
      <c r="E41" s="30"/>
      <c r="F41" s="31">
        <f>F22</f>
      </c>
      <c r="G41" s="7"/>
    </row>
    <row r="42" spans="3:7" x14ac:dyDescent="0.25">
      <c r="C42" s="30" t="s">
        <v>71</v>
      </c>
      <c r="D42" s="30"/>
      <c r="E42" s="30"/>
      <c r="F42" s="31">
        <f>F29</f>
      </c>
      <c r="G42" s="7"/>
    </row>
    <row r="43" spans="3:7" x14ac:dyDescent="0.25">
      <c r="C43" s="30" t="s">
        <v>72</v>
      </c>
      <c r="D43" s="30"/>
      <c r="E43" s="30"/>
      <c r="F43" s="31">
        <f>F36</f>
      </c>
      <c r="G43" s="7"/>
    </row>
    <row r="44" spans="3:7" x14ac:dyDescent="0.25">
      <c r="C44" s="32">
        <f>IF(ROUND(F41+F42-F43,2)&gt;0,"Acenteden alınacak",IF(ROUND(F41+F42-F43,2)&lt;0,"Acenteye iade edilecek","Hesap kapandı"))</f>
      </c>
      <c r="D44" s="32"/>
      <c r="E44" s="32"/>
      <c r="F44" s="33">
        <f>ABS(F41+F42-F43)</f>
      </c>
      <c r="G44" s="7"/>
    </row>
    <row r="45" ht="6" customHeight="1" spans="3:7" x14ac:dyDescent="0.25">
      <c r="C45" s="34"/>
      <c r="D45" s="7"/>
      <c r="E45" s="7"/>
      <c r="F45" s="7"/>
      <c r="G45" s="7"/>
    </row>
    <row r="46" spans="3:7" x14ac:dyDescent="0.25">
      <c r="C46" s="29" t="s">
        <v>73</v>
      </c>
      <c r="D46" s="7"/>
      <c r="E46" s="7"/>
      <c r="F46" s="7"/>
      <c r="G46" s="7"/>
    </row>
    <row r="47" spans="3:7" x14ac:dyDescent="0.25">
      <c r="C47" s="30" t="s">
        <v>70</v>
      </c>
      <c r="D47" s="30"/>
      <c r="E47" s="30"/>
      <c r="F47" s="35">
        <f>F23</f>
      </c>
      <c r="G47" s="7"/>
    </row>
    <row r="48" spans="3:7" x14ac:dyDescent="0.25">
      <c r="C48" s="30" t="s">
        <v>71</v>
      </c>
      <c r="D48" s="30"/>
      <c r="E48" s="30"/>
      <c r="F48" s="35">
        <f>F30</f>
      </c>
      <c r="G48" s="7"/>
    </row>
    <row r="49" spans="3:7" x14ac:dyDescent="0.25">
      <c r="C49" s="30" t="s">
        <v>72</v>
      </c>
      <c r="D49" s="30"/>
      <c r="E49" s="30"/>
      <c r="F49" s="35">
        <f>F37</f>
      </c>
      <c r="G49" s="7"/>
    </row>
    <row r="50" spans="3:7" x14ac:dyDescent="0.25">
      <c r="C50" s="32">
        <f>IF(ROUND(F47+F48-F49,2)&gt;0,"Acenteden alınacak",IF(ROUND(F47+F48-F49,2)&lt;0,"Acenteye iade edilecek","Hesap kapandı"))</f>
      </c>
      <c r="D50" s="32"/>
      <c r="E50" s="32"/>
      <c r="F50" s="36">
        <f>ABS(F47+F48-F49)</f>
      </c>
      <c r="G50" s="7"/>
    </row>
    <row r="51" ht="6" customHeight="1" spans="3:7" x14ac:dyDescent="0.25">
      <c r="C51" s="34"/>
      <c r="D51" s="7"/>
      <c r="E51" s="7"/>
      <c r="F51" s="7"/>
      <c r="G51" s="7"/>
    </row>
    <row r="53" ht="18" customHeight="1" spans="1:1" x14ac:dyDescent="0.25">
      <c r="A53" s="10" t="s">
        <v>74</v>
      </c>
    </row>
    <row r="54" ht="34" customHeight="1" spans="1:7" x14ac:dyDescent="0.25">
      <c r="A54" s="37" t="s">
        <v>75</v>
      </c>
      <c r="B54" s="37"/>
      <c r="C54" s="37"/>
      <c r="D54" s="37"/>
      <c r="E54" s="37"/>
      <c r="F54" s="37"/>
      <c r="G54" s="37"/>
    </row>
    <row r="56" spans="1:7" x14ac:dyDescent="0.25">
      <c r="A56" s="38" t="s">
        <v>76</v>
      </c>
      <c r="B56" s="38"/>
      <c r="C56" s="38"/>
      <c r="D56" s="38"/>
      <c r="E56" s="38"/>
      <c r="F56" s="38"/>
      <c r="G56" s="38"/>
    </row>
  </sheetData>
  <mergeCells count="28">
    <mergeCell ref="F1:G1"/>
    <mergeCell ref="F2:G2"/>
    <mergeCell ref="C6:D6"/>
    <mergeCell ref="F6:G6"/>
    <mergeCell ref="C7:D7"/>
    <mergeCell ref="F7:G7"/>
    <mergeCell ref="C8:D8"/>
    <mergeCell ref="F8:G8"/>
    <mergeCell ref="C9:D9"/>
    <mergeCell ref="F9:G9"/>
    <mergeCell ref="C10:D10"/>
    <mergeCell ref="F10:G10"/>
    <mergeCell ref="C22:E22"/>
    <mergeCell ref="C23:E23"/>
    <mergeCell ref="C29:E29"/>
    <mergeCell ref="C30:E30"/>
    <mergeCell ref="C36:E36"/>
    <mergeCell ref="C37:E37"/>
    <mergeCell ref="C41:E41"/>
    <mergeCell ref="C42:E42"/>
    <mergeCell ref="C43:E43"/>
    <mergeCell ref="C44:E44"/>
    <mergeCell ref="C47:E47"/>
    <mergeCell ref="C48:E48"/>
    <mergeCell ref="C49:E49"/>
    <mergeCell ref="C50:E50"/>
    <mergeCell ref="A54:G54"/>
    <mergeCell ref="A56:G56"/>
  </mergeCells>
  <pageMargins left="0.5" right="0.5" top="0.6" bottom="0.6" header="0.3" footer="0.3"/>
  <pageSetup paperSize="9" orientation="portrait" horizontalDpi="4294967295" verticalDpi="4294967295" scale="100" fitToWidth="1" fitToHeight="0"/>
  <headerFooter>
    <oddFooter>&amp;L&amp;8&amp;K9AA1BD Pusula İstanbul ile oluşturuldu · pusulaistanbul.app · 03.09.2026 21:14&amp;R&amp;8&amp;K9AA1BD Sayfa 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46"/>
  <sheetViews>
    <sheetView workbookViewId="0" showGridLines="0"/>
  </sheetViews>
  <sheetFormatPr defaultRowHeight="15" outlineLevelRow="0" outlineLevelCol="0" x14ac:dyDescent="55"/>
  <cols>
    <col min="1" max="1" width="60" customWidth="1"/>
  </cols>
  <sheetData>
    <row r="1" ht="24" customHeight="1" spans="1:1" x14ac:dyDescent="0.25">
      <c r="A1" s="39" t="s">
        <v>77</v>
      </c>
    </row>
    <row r="3" spans="1:1" x14ac:dyDescent="0.25">
      <c r="A3" s="40" t="s">
        <v>78</v>
      </c>
    </row>
    <row r="30" spans="1:1" x14ac:dyDescent="0.25">
      <c r="A30" s="40" t="s">
        <v>79</v>
      </c>
    </row>
    <row r="46" spans="1:1" x14ac:dyDescent="0.25">
      <c r="A46" s="40" t="s">
        <v>80</v>
      </c>
    </row>
  </sheetData>
  <pageMargins left="0.7" right="0.7" top="0.75" bottom="0.75" header="0.3" footer="0.3"/>
  <pageSetup paperSize="9" orientation="portrait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Masraf Pusulası</vt:lpstr>
      <vt:lpstr>Fişler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Pusula İstanbul</dc:creator>
  <dc:title>Masraf Pusulası — Klasik İstanbul — Alman grup — 2026-09-12</dc:title>
  <dc:subject/>
  <dc:description/>
  <cp:keywords/>
  <cp:category/>
  <cp:lastModifiedBy>Unknown</cp:lastModifiedBy>
  <dcterms:created xsi:type="dcterms:W3CDTF">2026-09-03T18:14:10Z</dcterms:created>
  <dcterms:modified xsi:type="dcterms:W3CDTF">2026-09-03T18:14:10Z</dcterms:modified>
</cp:coreProperties>
</file>