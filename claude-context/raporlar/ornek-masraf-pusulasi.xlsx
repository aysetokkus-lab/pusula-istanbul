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raf Pusulası" state="visible" r:id="rId4"/>
    <sheet sheetId="2" name="Fişler" state="visible" r:id="rId5"/>
  </sheets>
  <calcPr calcId="171027"/>
</workbook>
</file>

<file path=xl/sharedStrings.xml><?xml version="1.0" encoding="utf-8"?>
<sst xmlns="http://schemas.openxmlformats.org/spreadsheetml/2006/main" count="98" uniqueCount="68">
  <si>
    <t>PUSULA İSTANBUL</t>
  </si>
  <si>
    <t>5 Eylül 2026, Cumartesi</t>
  </si>
  <si>
    <t>Masraf Pusulası</t>
  </si>
  <si>
    <t>Ayşe Tokkuş Bayar</t>
  </si>
  <si>
    <t>TUR BİLGİLERİ</t>
  </si>
  <si>
    <t>REHBER</t>
  </si>
  <si>
    <t>Tur</t>
  </si>
  <si>
    <t>Klasik İstanbul — Alman grup</t>
  </si>
  <si>
    <t>Ad Soyad</t>
  </si>
  <si>
    <t>Tarih</t>
  </si>
  <si>
    <t>Telefon</t>
  </si>
  <si>
    <t>+90 532 000 00 00</t>
  </si>
  <si>
    <t>Acente</t>
  </si>
  <si>
    <t>Örnek Turizm A.Ş.</t>
  </si>
  <si>
    <t>E-posta</t>
  </si>
  <si>
    <t>ayse@example.com</t>
  </si>
  <si>
    <t>Grup</t>
  </si>
  <si>
    <t>24 kişi · Almanca</t>
  </si>
  <si>
    <t>Ruhsat No</t>
  </si>
  <si>
    <t>12345</t>
  </si>
  <si>
    <t>Saat</t>
  </si>
  <si>
    <t>08:30 · Sultanahmet Meydanı</t>
  </si>
  <si>
    <t/>
  </si>
  <si>
    <t>—</t>
  </si>
  <si>
    <t>MASRAFLAR</t>
  </si>
  <si>
    <t>#</t>
  </si>
  <si>
    <t>Kategori</t>
  </si>
  <si>
    <t>Açıklama</t>
  </si>
  <si>
    <t>Fiş</t>
  </si>
  <si>
    <t>Tutar</t>
  </si>
  <si>
    <t>PB</t>
  </si>
  <si>
    <t>Müze / Giriş</t>
  </si>
  <si>
    <t>Topkapı Sarayı + Harem, 24 kişi</t>
  </si>
  <si>
    <t>Var</t>
  </si>
  <si>
    <t>TRY</t>
  </si>
  <si>
    <t>Otoyol / Köprü</t>
  </si>
  <si>
    <t>FSM Köprüsü geçiş (gidiş-dönüş)</t>
  </si>
  <si>
    <t>Otopark</t>
  </si>
  <si>
    <t>Sultanahmet otopark, 3 saat</t>
  </si>
  <si>
    <t>Kaptan Yemek</t>
  </si>
  <si>
    <t>Kaptan öğle yemeği</t>
  </si>
  <si>
    <t>Rehber Yemek</t>
  </si>
  <si>
    <t>Rehber öğle yemeği — grup restoranı dışında, uzun bir açıklama satırı sarma testi için buraya yazıldı</t>
  </si>
  <si>
    <t>EUR</t>
  </si>
  <si>
    <t>Bahşiş</t>
  </si>
  <si>
    <t>Şoför bahşişi</t>
  </si>
  <si>
    <t>Ulaşım</t>
  </si>
  <si>
    <t>Boğaz turu tekne bileti (TURYOL)</t>
  </si>
  <si>
    <t>Masraf toplamı (TRY)</t>
  </si>
  <si>
    <t>Masraf toplamı (EUR)</t>
  </si>
  <si>
    <t>AVANSLAR</t>
  </si>
  <si>
    <t>Avans</t>
  </si>
  <si>
    <t>Acente ofisinden nakit</t>
  </si>
  <si>
    <t>Tur lideri</t>
  </si>
  <si>
    <t>Avans toplamı (TRY)</t>
  </si>
  <si>
    <t>Avans toplamı (EUR)</t>
  </si>
  <si>
    <t>ÖZET</t>
  </si>
  <si>
    <t>TÜRK LİRASI (TRY)</t>
  </si>
  <si>
    <t>Toplam masraf</t>
  </si>
  <si>
    <t>Alınan avans</t>
  </si>
  <si>
    <t>EURO (EUR)</t>
  </si>
  <si>
    <t>NOTLAR</t>
  </si>
  <si>
    <t>Müze girişinde grup 2'ye bölündü; Harem ek bileti acente onayıyla alındı. Şoför: Mehmet Bey (34 ABC 123).</t>
  </si>
  <si>
    <t>Pusula İstanbul ile oluşturuldu · pusulaistanbul.app · 03.09.2026 20:36</t>
  </si>
  <si>
    <t>FİŞLER VE FATURALAR (3 adet) — Klasik İstanbul — Alman grup · 5 Eylül 2026, Cumartesi</t>
  </si>
  <si>
    <t>#1 · Müze / Giriş · 12.000,00 ₺ — Topkapı Sarayı + Harem, 24 kişi</t>
  </si>
  <si>
    <t>#3 · Otopark · 450,00 ₺ — Sultanahmet otopark, 3 saat</t>
  </si>
  <si>
    <t>#5 · Rehber Yemek · 25,00 € — Rehber öğle yemeği — grup restoranı dışında, uzun bir açıklama satırı sarma testi için buraya yazıldı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</si>
</sst>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₺&quot;"/>
    <numFmt numFmtId="165" formatCode="#,##0.00 &quot;€&quot;"/>
  </numFmts>
  <fonts count="19" x14ac:knownFonts="1">
    <font>
      <color theme="1"/>
      <family val="2"/>
      <scheme val="minor"/>
      <sz val="11"/>
      <name val="Calibri"/>
    </font>
    <font>
      <b/>
      <color rgb="FFFFFFFF"/>
      <sz val="8"/>
      <name val="Poppins"/>
    </font>
    <font>
      <b/>
      <color rgb="FFFFFFFF"/>
      <sz val="9"/>
      <name val="Poppins"/>
    </font>
    <font>
      <b/>
      <color rgb="FFFFFFFF"/>
      <sz val="16"/>
      <name val="Poppins"/>
    </font>
    <font>
      <color rgb="FFFFFFFF"/>
      <sz val="9"/>
      <name val="Poppins"/>
    </font>
    <font>
      <b/>
      <color rgb="FF1E40AF"/>
      <sz val="8"/>
      <name val="Poppins"/>
    </font>
    <font>
      <color rgb="FF6B7290"/>
      <sz val="9"/>
      <name val="Poppins"/>
    </font>
    <font>
      <b/>
      <color rgb="FF121A3E"/>
      <sz val="9"/>
      <name val="Poppins"/>
    </font>
    <font>
      <color rgb="FF121A3E"/>
      <sz val="9"/>
      <name val="Poppins"/>
    </font>
    <font>
      <color rgb="FF16A34A"/>
      <sz val="9"/>
      <name val="Poppins"/>
    </font>
    <font>
      <color rgb="FF9AA1BD"/>
      <sz val="9"/>
      <name val="Poppins"/>
    </font>
    <font>
      <b/>
      <color rgb="FF1E40AF"/>
      <sz val="10"/>
      <name val="Poppins"/>
    </font>
    <font>
      <b/>
      <color rgb="FF7C3AED"/>
      <sz val="8"/>
      <name val="Poppins"/>
    </font>
    <font>
      <color rgb="FF121A3E"/>
      <sz val="10"/>
      <name val="Poppins"/>
    </font>
    <font>
      <b/>
      <color rgb="FF6B7290"/>
      <sz val="9"/>
      <name val="Poppins"/>
    </font>
    <font>
      <b/>
      <color rgb="FF1E40AF"/>
      <sz val="12"/>
      <name val="Poppins"/>
    </font>
    <font>
      <b/>
      <color rgb="FFDC2626"/>
      <sz val="12"/>
      <name val="Poppins"/>
    </font>
    <font>
      <color rgb="FF9AA1BD"/>
      <sz val="7"/>
      <name val="Poppins"/>
    </font>
    <font>
      <b/>
      <color rgb="FF1E40AF"/>
      <sz val="9"/>
      <name val="Poppins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6F7FD"/>
      </patternFill>
    </fill>
  </fills>
  <borders count="3">
    <border>
      <left/>
      <right/>
      <top/>
      <bottom/>
      <diagonal/>
    </border>
    <border>
      <left style="thin">
        <color rgb="FFE6E8F5"/>
      </left>
      <right style="thin">
        <color rgb="FFE6E8F5"/>
      </right>
      <top style="thin">
        <color rgb="FFE6E8F5"/>
      </top>
      <bottom style="thin">
        <color rgb="FFE6E8F5"/>
      </bottom>
      <diagonal/>
    </border>
    <border>
      <left style="thick">
        <color rgb="FFF59E0B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right" vertical="bottom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5" fillId="3" borderId="0" xfId="0" applyFont="1" applyFill="1"/>
    <xf numFmtId="0" fontId="0" fillId="3" borderId="0" xfId="0" applyFill="1"/>
    <xf numFmtId="0" fontId="6" fillId="3" borderId="0" xfId="0" applyFont="1" applyFill="1"/>
    <xf numFmtId="0" fontId="7" fillId="3" borderId="0" xfId="0" applyFont="1" applyFill="1" applyAlignment="1">
      <alignment vertical="top"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164" fontId="7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164" fontId="7" fillId="0" borderId="1" xfId="0" applyNumberFormat="1" applyFont="1" applyBorder="1" applyAlignment="1">
      <alignment horizontal="right" vertical="top"/>
    </xf>
    <xf numFmtId="165" fontId="7" fillId="3" borderId="1" xfId="0" applyNumberFormat="1" applyFont="1" applyFill="1" applyBorder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2" fillId="3" borderId="2" xfId="0" applyFont="1" applyFill="1" applyBorder="1"/>
    <xf numFmtId="0" fontId="6" fillId="3" borderId="2" xfId="0" applyFont="1" applyFill="1" applyBorder="1"/>
    <xf numFmtId="164" fontId="13" fillId="3" borderId="0" xfId="0" applyNumberFormat="1" applyFont="1" applyFill="1" applyAlignment="1">
      <alignment horizontal="right"/>
    </xf>
    <xf numFmtId="0" fontId="14" fillId="3" borderId="2" xfId="0" applyFont="1" applyFill="1" applyBorder="1"/>
    <xf numFmtId="164" fontId="15" fillId="3" borderId="0" xfId="0" applyNumberFormat="1" applyFont="1" applyFill="1" applyAlignment="1">
      <alignment horizontal="right"/>
    </xf>
    <xf numFmtId="0" fontId="0" fillId="3" borderId="2" xfId="0" applyFill="1" applyBorder="1"/>
    <xf numFmtId="165" fontId="13" fillId="3" borderId="0" xfId="0" applyNumberFormat="1" applyFont="1" applyFill="1" applyAlignment="1">
      <alignment horizontal="right"/>
    </xf>
    <xf numFmtId="165" fontId="16" fillId="3" borderId="0" xfId="0" applyNumberFormat="1" applyFont="1" applyFill="1" applyAlignment="1">
      <alignment horizontal="right"/>
    </xf>
    <xf numFmtId="0" fontId="8" fillId="0" borderId="0" xfId="0" applyFont="1" applyAlignment="1">
      <alignment vertical="top" wrapText="1"/>
    </xf>
    <xf numFmtId="0" fontId="17" fillId="0" borderId="0" xfId="0" applyFont="1"/>
    <xf numFmtId="0" fontId="2" fillId="2" borderId="0" xfId="0" applyFont="1" applyFill="1" applyAlignment="1">
      <alignment vertic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6000</xdr:colOff>
      <xdr:row>0</xdr:row>
      <xdr:rowOff>56000</xdr:rowOff>
    </xdr:from>
    <xdr:ext cx="2857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3048000" cy="457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3619500" cy="24098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3200400" cy="457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workbookViewId="0" showGridLines="0"/>
  </sheetViews>
  <sheetFormatPr defaultRowHeight="15" outlineLevelRow="0" outlineLevelCol="0" x14ac:dyDescent="55"/>
  <cols>
    <col min="2" max="2" width="18" customWidth="1"/>
    <col min="3" max="3" width="46" customWidth="1"/>
    <col min="4" max="4" width="7" customWidth="1"/>
    <col min="5" max="5" width="16" customWidth="1"/>
    <col min="6" max="6" width="8" customWidth="1"/>
  </cols>
  <sheetData>
    <row r="1" ht="16" customHeight="1" spans="1:6" x14ac:dyDescent="0.25">
      <c r="A1" s="1"/>
      <c r="B1" s="2" t="s">
        <v>0</v>
      </c>
      <c r="C1" s="1"/>
      <c r="D1" s="1"/>
      <c r="E1" s="3" t="s">
        <v>1</v>
      </c>
      <c r="F1" s="3"/>
    </row>
    <row r="2" ht="26" customHeight="1" spans="1:6" x14ac:dyDescent="0.25">
      <c r="A2" s="1"/>
      <c r="B2" s="4" t="s">
        <v>2</v>
      </c>
      <c r="C2" s="1"/>
      <c r="D2" s="1"/>
      <c r="E2" s="5" t="s">
        <v>3</v>
      </c>
      <c r="F2" s="5"/>
    </row>
    <row r="3" ht="8" customHeight="1" spans="1:6" x14ac:dyDescent="0.25">
      <c r="A3" s="1"/>
      <c r="B3" s="1"/>
      <c r="C3" s="1"/>
      <c r="D3" s="1"/>
      <c r="E3" s="1"/>
      <c r="F3" s="1"/>
    </row>
    <row r="5" spans="1:6" x14ac:dyDescent="0.25">
      <c r="A5" s="6" t="s">
        <v>4</v>
      </c>
      <c r="B5" s="7"/>
      <c r="C5" s="7"/>
      <c r="D5" s="6" t="s">
        <v>5</v>
      </c>
      <c r="E5" s="7"/>
      <c r="F5" s="7"/>
    </row>
    <row r="6" spans="1:6" x14ac:dyDescent="0.25">
      <c r="A6" s="8" t="s">
        <v>6</v>
      </c>
      <c r="B6" s="9" t="s">
        <v>7</v>
      </c>
      <c r="C6" s="9"/>
      <c r="D6" s="8" t="s">
        <v>8</v>
      </c>
      <c r="E6" s="9" t="s">
        <v>3</v>
      </c>
      <c r="F6" s="9"/>
    </row>
    <row r="7" spans="1:6" x14ac:dyDescent="0.25">
      <c r="A7" s="8" t="s">
        <v>9</v>
      </c>
      <c r="B7" s="9" t="s">
        <v>1</v>
      </c>
      <c r="C7" s="9"/>
      <c r="D7" s="8" t="s">
        <v>10</v>
      </c>
      <c r="E7" s="9" t="s">
        <v>11</v>
      </c>
      <c r="F7" s="9"/>
    </row>
    <row r="8" spans="1:6" x14ac:dyDescent="0.25">
      <c r="A8" s="8" t="s">
        <v>12</v>
      </c>
      <c r="B8" s="9" t="s">
        <v>13</v>
      </c>
      <c r="C8" s="9"/>
      <c r="D8" s="8" t="s">
        <v>14</v>
      </c>
      <c r="E8" s="9" t="s">
        <v>15</v>
      </c>
      <c r="F8" s="9"/>
    </row>
    <row r="9" spans="1:6" x14ac:dyDescent="0.25">
      <c r="A9" s="8" t="s">
        <v>16</v>
      </c>
      <c r="B9" s="9" t="s">
        <v>17</v>
      </c>
      <c r="C9" s="9"/>
      <c r="D9" s="8" t="s">
        <v>18</v>
      </c>
      <c r="E9" s="9" t="s">
        <v>19</v>
      </c>
      <c r="F9" s="9"/>
    </row>
    <row r="10" spans="1:6" x14ac:dyDescent="0.25">
      <c r="A10" s="8" t="s">
        <v>20</v>
      </c>
      <c r="B10" s="9" t="s">
        <v>21</v>
      </c>
      <c r="C10" s="9"/>
      <c r="D10" s="8" t="s">
        <v>22</v>
      </c>
      <c r="E10" s="9" t="s">
        <v>23</v>
      </c>
      <c r="F10" s="9"/>
    </row>
    <row r="11" spans="1:6" x14ac:dyDescent="0.25">
      <c r="A11" s="7"/>
      <c r="B11" s="7"/>
      <c r="C11" s="7"/>
      <c r="D11" s="7"/>
      <c r="E11" s="7"/>
      <c r="F11" s="7"/>
    </row>
    <row r="12" ht="18" customHeight="1" spans="1:1" x14ac:dyDescent="0.25">
      <c r="A12" s="10" t="s">
        <v>24</v>
      </c>
    </row>
    <row r="13" ht="18" customHeight="1" spans="1:6" x14ac:dyDescent="0.25">
      <c r="A13" s="11" t="s">
        <v>25</v>
      </c>
      <c r="B13" s="11" t="s">
        <v>26</v>
      </c>
      <c r="C13" s="11" t="s">
        <v>27</v>
      </c>
      <c r="D13" s="11" t="s">
        <v>28</v>
      </c>
      <c r="E13" s="12" t="s">
        <v>29</v>
      </c>
      <c r="F13" s="11" t="s">
        <v>30</v>
      </c>
    </row>
    <row r="14" spans="1:6" x14ac:dyDescent="0.25">
      <c r="A14" s="13">
        <v>1</v>
      </c>
      <c r="B14" s="14" t="s">
        <v>31</v>
      </c>
      <c r="C14" s="15" t="s">
        <v>32</v>
      </c>
      <c r="D14" s="16" t="s">
        <v>33</v>
      </c>
      <c r="E14" s="17">
        <v>12000</v>
      </c>
      <c r="F14" s="18" t="s">
        <v>34</v>
      </c>
    </row>
    <row r="15" spans="1:6" x14ac:dyDescent="0.25">
      <c r="A15" s="19">
        <v>2</v>
      </c>
      <c r="B15" s="20" t="s">
        <v>35</v>
      </c>
      <c r="C15" s="21" t="s">
        <v>36</v>
      </c>
      <c r="D15" s="22" t="s">
        <v>23</v>
      </c>
      <c r="E15" s="23">
        <v>380.5</v>
      </c>
      <c r="F15" s="22" t="s">
        <v>34</v>
      </c>
    </row>
    <row r="16" spans="1:6" x14ac:dyDescent="0.25">
      <c r="A16" s="13">
        <v>3</v>
      </c>
      <c r="B16" s="14" t="s">
        <v>37</v>
      </c>
      <c r="C16" s="15" t="s">
        <v>38</v>
      </c>
      <c r="D16" s="16" t="s">
        <v>33</v>
      </c>
      <c r="E16" s="17">
        <v>450</v>
      </c>
      <c r="F16" s="18" t="s">
        <v>34</v>
      </c>
    </row>
    <row r="17" spans="1:6" x14ac:dyDescent="0.25">
      <c r="A17" s="19">
        <v>4</v>
      </c>
      <c r="B17" s="20" t="s">
        <v>39</v>
      </c>
      <c r="C17" s="21" t="s">
        <v>40</v>
      </c>
      <c r="D17" s="22" t="s">
        <v>23</v>
      </c>
      <c r="E17" s="23">
        <v>650</v>
      </c>
      <c r="F17" s="22" t="s">
        <v>34</v>
      </c>
    </row>
    <row r="18" spans="1:6" x14ac:dyDescent="0.25">
      <c r="A18" s="13">
        <v>5</v>
      </c>
      <c r="B18" s="14" t="s">
        <v>41</v>
      </c>
      <c r="C18" s="15" t="s">
        <v>42</v>
      </c>
      <c r="D18" s="16" t="s">
        <v>33</v>
      </c>
      <c r="E18" s="24">
        <v>25</v>
      </c>
      <c r="F18" s="18" t="s">
        <v>43</v>
      </c>
    </row>
    <row r="19" spans="1:6" x14ac:dyDescent="0.25">
      <c r="A19" s="19">
        <v>6</v>
      </c>
      <c r="B19" s="20" t="s">
        <v>44</v>
      </c>
      <c r="C19" s="21" t="s">
        <v>45</v>
      </c>
      <c r="D19" s="22" t="s">
        <v>23</v>
      </c>
      <c r="E19" s="25">
        <v>20</v>
      </c>
      <c r="F19" s="22" t="s">
        <v>43</v>
      </c>
    </row>
    <row r="20" spans="1:6" x14ac:dyDescent="0.25">
      <c r="A20" s="13">
        <v>7</v>
      </c>
      <c r="B20" s="14" t="s">
        <v>46</v>
      </c>
      <c r="C20" s="15" t="s">
        <v>47</v>
      </c>
      <c r="D20" s="18" t="s">
        <v>23</v>
      </c>
      <c r="E20" s="17">
        <v>4800</v>
      </c>
      <c r="F20" s="18" t="s">
        <v>34</v>
      </c>
    </row>
    <row r="21" spans="1:6" x14ac:dyDescent="0.25">
      <c r="A21" s="19">
        <v>8</v>
      </c>
      <c r="B21" s="20" t="s">
        <v>10</v>
      </c>
      <c r="C21" s="21" t="s">
        <v>23</v>
      </c>
      <c r="D21" s="22" t="s">
        <v>23</v>
      </c>
      <c r="E21" s="23">
        <v>120</v>
      </c>
      <c r="F21" s="22" t="s">
        <v>34</v>
      </c>
    </row>
    <row r="22" spans="2:5" x14ac:dyDescent="0.25">
      <c r="B22" s="26" t="s">
        <v>48</v>
      </c>
      <c r="C22" s="26"/>
      <c r="D22" s="26"/>
      <c r="E22" s="27">
        <f>SUMIF(F14:F21,"TRY",E14:E21)</f>
      </c>
    </row>
    <row r="23" spans="2:5" x14ac:dyDescent="0.25">
      <c r="B23" s="26" t="s">
        <v>49</v>
      </c>
      <c r="C23" s="26"/>
      <c r="D23" s="26"/>
      <c r="E23" s="28">
        <f>SUMIF(F14:F21,"EUR",E14:E21)</f>
      </c>
    </row>
    <row r="25" ht="18" customHeight="1" spans="1:1" x14ac:dyDescent="0.25">
      <c r="A25" s="10" t="s">
        <v>50</v>
      </c>
    </row>
    <row r="26" ht="18" customHeight="1" spans="1:6" x14ac:dyDescent="0.25">
      <c r="A26" s="11" t="s">
        <v>25</v>
      </c>
      <c r="B26" s="11" t="s">
        <v>26</v>
      </c>
      <c r="C26" s="11" t="s">
        <v>27</v>
      </c>
      <c r="D26" s="11" t="s">
        <v>28</v>
      </c>
      <c r="E26" s="12" t="s">
        <v>29</v>
      </c>
      <c r="F26" s="11" t="s">
        <v>30</v>
      </c>
    </row>
    <row r="27" spans="1:6" x14ac:dyDescent="0.25">
      <c r="A27" s="13">
        <v>1</v>
      </c>
      <c r="B27" s="14" t="s">
        <v>51</v>
      </c>
      <c r="C27" s="15" t="s">
        <v>52</v>
      </c>
      <c r="D27" s="18" t="s">
        <v>23</v>
      </c>
      <c r="E27" s="17">
        <v>15000</v>
      </c>
      <c r="F27" s="18" t="s">
        <v>34</v>
      </c>
    </row>
    <row r="28" spans="1:6" x14ac:dyDescent="0.25">
      <c r="A28" s="19">
        <v>2</v>
      </c>
      <c r="B28" s="20" t="s">
        <v>51</v>
      </c>
      <c r="C28" s="21" t="s">
        <v>53</v>
      </c>
      <c r="D28" s="22" t="s">
        <v>23</v>
      </c>
      <c r="E28" s="25">
        <v>100</v>
      </c>
      <c r="F28" s="22" t="s">
        <v>43</v>
      </c>
    </row>
    <row r="29" spans="2:5" x14ac:dyDescent="0.25">
      <c r="B29" s="26" t="s">
        <v>54</v>
      </c>
      <c r="C29" s="26"/>
      <c r="D29" s="26"/>
      <c r="E29" s="27">
        <f>SUMIF(F27:F28,"TRY",E27:E28)</f>
      </c>
    </row>
    <row r="30" spans="2:5" x14ac:dyDescent="0.25">
      <c r="B30" s="26" t="s">
        <v>55</v>
      </c>
      <c r="C30" s="26"/>
      <c r="D30" s="26"/>
      <c r="E30" s="28">
        <f>SUMIF(F27:F28,"EUR",E27:E28)</f>
      </c>
    </row>
    <row r="32" ht="18" customHeight="1" spans="1:1" x14ac:dyDescent="0.25">
      <c r="A32" s="10" t="s">
        <v>56</v>
      </c>
    </row>
    <row r="33" spans="2:6" x14ac:dyDescent="0.25">
      <c r="B33" s="29" t="s">
        <v>57</v>
      </c>
      <c r="C33" s="7"/>
      <c r="D33" s="7"/>
      <c r="E33" s="7"/>
      <c r="F33" s="7"/>
    </row>
    <row r="34" spans="2:6" x14ac:dyDescent="0.25">
      <c r="B34" s="30" t="s">
        <v>58</v>
      </c>
      <c r="C34" s="30"/>
      <c r="D34" s="30"/>
      <c r="E34" s="31">
        <f>E22</f>
      </c>
      <c r="F34" s="7"/>
    </row>
    <row r="35" spans="2:6" x14ac:dyDescent="0.25">
      <c r="B35" s="30" t="s">
        <v>59</v>
      </c>
      <c r="C35" s="30"/>
      <c r="D35" s="30"/>
      <c r="E35" s="31">
        <f>E29</f>
      </c>
      <c r="F35" s="7"/>
    </row>
    <row r="36" spans="2:6" x14ac:dyDescent="0.25">
      <c r="B36" s="32">
        <f>IF(ROUND(E34-E35,2)&gt;0,"Acenteden alınacak",IF(ROUND(E34-E35,2)&lt;0,"Acenteye iade edilecek","Hesap kapandı"))</f>
      </c>
      <c r="C36" s="32"/>
      <c r="D36" s="32"/>
      <c r="E36" s="33">
        <f>ABS(E34-E35)</f>
      </c>
      <c r="F36" s="7"/>
    </row>
    <row r="37" ht="6" customHeight="1" spans="2:6" x14ac:dyDescent="0.25">
      <c r="B37" s="34"/>
      <c r="C37" s="7"/>
      <c r="D37" s="7"/>
      <c r="E37" s="7"/>
      <c r="F37" s="7"/>
    </row>
    <row r="38" spans="2:6" x14ac:dyDescent="0.25">
      <c r="B38" s="29" t="s">
        <v>60</v>
      </c>
      <c r="C38" s="7"/>
      <c r="D38" s="7"/>
      <c r="E38" s="7"/>
      <c r="F38" s="7"/>
    </row>
    <row r="39" spans="2:6" x14ac:dyDescent="0.25">
      <c r="B39" s="30" t="s">
        <v>58</v>
      </c>
      <c r="C39" s="30"/>
      <c r="D39" s="30"/>
      <c r="E39" s="35">
        <f>E23</f>
      </c>
      <c r="F39" s="7"/>
    </row>
    <row r="40" spans="2:6" x14ac:dyDescent="0.25">
      <c r="B40" s="30" t="s">
        <v>59</v>
      </c>
      <c r="C40" s="30"/>
      <c r="D40" s="30"/>
      <c r="E40" s="35">
        <f>E30</f>
      </c>
      <c r="F40" s="7"/>
    </row>
    <row r="41" spans="2:6" x14ac:dyDescent="0.25">
      <c r="B41" s="32">
        <f>IF(ROUND(E39-E40,2)&gt;0,"Acenteden alınacak",IF(ROUND(E39-E40,2)&lt;0,"Acenteye iade edilecek","Hesap kapandı"))</f>
      </c>
      <c r="C41" s="32"/>
      <c r="D41" s="32"/>
      <c r="E41" s="36">
        <f>ABS(E39-E40)</f>
      </c>
      <c r="F41" s="7"/>
    </row>
    <row r="42" ht="6" customHeight="1" spans="2:6" x14ac:dyDescent="0.25">
      <c r="B42" s="34"/>
      <c r="C42" s="7"/>
      <c r="D42" s="7"/>
      <c r="E42" s="7"/>
      <c r="F42" s="7"/>
    </row>
    <row r="44" ht="18" customHeight="1" spans="1:1" x14ac:dyDescent="0.25">
      <c r="A44" s="10" t="s">
        <v>61</v>
      </c>
    </row>
    <row r="45" ht="34" customHeight="1" spans="1:6" x14ac:dyDescent="0.25">
      <c r="A45" s="37" t="s">
        <v>62</v>
      </c>
      <c r="B45" s="37"/>
      <c r="C45" s="37"/>
      <c r="D45" s="37"/>
      <c r="E45" s="37"/>
      <c r="F45" s="37"/>
    </row>
    <row r="47" spans="1:6" x14ac:dyDescent="0.25">
      <c r="A47" s="38" t="s">
        <v>63</v>
      </c>
      <c r="B47" s="38"/>
      <c r="C47" s="38"/>
      <c r="D47" s="38"/>
      <c r="E47" s="38"/>
      <c r="F47" s="38"/>
    </row>
  </sheetData>
  <mergeCells count="24">
    <mergeCell ref="E1:F1"/>
    <mergeCell ref="E2:F2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22:D22"/>
    <mergeCell ref="B23:D23"/>
    <mergeCell ref="B29:D29"/>
    <mergeCell ref="B30:D30"/>
    <mergeCell ref="B34:D34"/>
    <mergeCell ref="B35:D35"/>
    <mergeCell ref="B36:D36"/>
    <mergeCell ref="B39:D39"/>
    <mergeCell ref="B40:D40"/>
    <mergeCell ref="B41:D41"/>
    <mergeCell ref="A45:F45"/>
    <mergeCell ref="A47:F47"/>
  </mergeCells>
  <pageMargins left="0.5" right="0.5" top="0.6" bottom="0.6" header="0.3" footer="0.3"/>
  <pageSetup paperSize="9" orientation="portrait" horizontalDpi="4294967295" verticalDpi="4294967295" scale="100" fitToWidth="1" fitToHeight="0"/>
  <headerFooter>
    <oddFooter>&amp;L&amp;8&amp;K9AA1BD Pusula İstanbul ile oluşturuldu · pusulaistanbul.app · 03.09.2026 20:36&amp;R&amp;8&amp;K9AA1BD Sayfa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6"/>
  <sheetViews>
    <sheetView workbookViewId="0" showGridLines="0"/>
  </sheetViews>
  <sheetFormatPr defaultRowHeight="15" outlineLevelRow="0" outlineLevelCol="0" x14ac:dyDescent="55"/>
  <cols>
    <col min="1" max="1" width="60" customWidth="1"/>
  </cols>
  <sheetData>
    <row r="1" ht="24" customHeight="1" spans="1:1" x14ac:dyDescent="0.25">
      <c r="A1" s="39" t="s">
        <v>64</v>
      </c>
    </row>
    <row r="3" spans="1:1" x14ac:dyDescent="0.25">
      <c r="A3" s="40" t="s">
        <v>65</v>
      </c>
    </row>
    <row r="30" spans="1:1" x14ac:dyDescent="0.25">
      <c r="A30" s="40" t="s">
        <v>66</v>
      </c>
    </row>
    <row r="46" spans="1:1" x14ac:dyDescent="0.25">
      <c r="A46" s="40" t="s">
        <v>67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Masraf Pusulası</vt:lpstr>
      <vt:lpstr>Fişler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Pusula İstanbul</dc:creator>
  <dc:title>Masraf Pusulası — Klasik İstanbul — Alman grup — 2026-09-05</dc:title>
  <dc:subject/>
  <dc:description/>
  <cp:keywords/>
  <cp:category/>
  <cp:lastModifiedBy>Unknown</cp:lastModifiedBy>
  <dcterms:created xsi:type="dcterms:W3CDTF">2026-09-03T17:36:27Z</dcterms:created>
  <dcterms:modified xsi:type="dcterms:W3CDTF">2026-09-03T17:36:27Z</dcterms:modified>
</cp:coreProperties>
</file>